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64147274b5bd5d/Escritorio/EvaluacionU1_OrmazabalVioleta/analysis/"/>
    </mc:Choice>
  </mc:AlternateContent>
  <xr:revisionPtr revIDLastSave="224" documentId="11_F25DC773A252ABDACC1048B3815B5C465BDE58F1" xr6:coauthVersionLast="47" xr6:coauthVersionMax="47" xr10:uidLastSave="{31A9AF62-4A7F-4E6E-A536-EE112B858BDA}"/>
  <bookViews>
    <workbookView xWindow="-108" yWindow="-108" windowWidth="23256" windowHeight="12456" activeTab="1" xr2:uid="{00000000-000D-0000-FFFF-FFFF00000000}"/>
  </bookViews>
  <sheets>
    <sheet name="Datos_Originales" sheetId="1" r:id="rId1"/>
    <sheet name="Calculos" sheetId="2" r:id="rId2"/>
    <sheet name="carga_deflex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2" i="2"/>
  <c r="P11" i="2"/>
  <c r="P10" i="2"/>
  <c r="P9" i="2"/>
  <c r="P8" i="2"/>
  <c r="P7" i="2"/>
  <c r="P6" i="2"/>
  <c r="P5" i="2"/>
  <c r="E12" i="2"/>
  <c r="C5" i="3"/>
  <c r="C6" i="3"/>
  <c r="C7" i="3"/>
  <c r="C8" i="3"/>
  <c r="C9" i="3"/>
  <c r="C10" i="3"/>
  <c r="C11" i="3"/>
  <c r="C12" i="3"/>
  <c r="C4" i="3"/>
  <c r="L11" i="2"/>
  <c r="K6" i="2"/>
  <c r="K7" i="2"/>
  <c r="K8" i="2"/>
  <c r="K9" i="2"/>
  <c r="K10" i="2"/>
  <c r="K11" i="2"/>
  <c r="K12" i="2"/>
  <c r="K13" i="2"/>
  <c r="K5" i="2"/>
  <c r="L6" i="2"/>
  <c r="L7" i="2"/>
  <c r="L8" i="2"/>
  <c r="L9" i="2"/>
  <c r="L10" i="2"/>
  <c r="L12" i="2"/>
  <c r="L13" i="2"/>
  <c r="L5" i="2"/>
  <c r="M5" i="2" s="1"/>
  <c r="M6" i="2" l="1"/>
  <c r="R6" i="2"/>
  <c r="M7" i="2"/>
  <c r="R7" i="2"/>
  <c r="M8" i="2"/>
  <c r="R8" i="2"/>
  <c r="M9" i="2"/>
  <c r="R9" i="2"/>
  <c r="M10" i="2"/>
  <c r="R10" i="2"/>
  <c r="M12" i="2"/>
  <c r="R12" i="2"/>
  <c r="M13" i="2"/>
  <c r="R13" i="2"/>
  <c r="M11" i="2"/>
  <c r="R11" i="2"/>
  <c r="N6" i="2"/>
  <c r="N7" i="2"/>
  <c r="N8" i="2"/>
  <c r="N9" i="2"/>
  <c r="N10" i="2"/>
  <c r="N11" i="2"/>
  <c r="N12" i="2"/>
  <c r="N13" i="2"/>
  <c r="N5" i="2"/>
  <c r="O5" i="2" s="1"/>
  <c r="D4" i="3" s="1"/>
  <c r="O6" i="2" l="1"/>
  <c r="D5" i="3" s="1"/>
  <c r="Q6" i="2"/>
  <c r="O7" i="2"/>
  <c r="D6" i="3" s="1"/>
  <c r="Q7" i="2"/>
  <c r="O8" i="2"/>
  <c r="D7" i="3" s="1"/>
  <c r="Q8" i="2"/>
  <c r="O9" i="2"/>
  <c r="D8" i="3" s="1"/>
  <c r="Q9" i="2"/>
  <c r="O10" i="2"/>
  <c r="D9" i="3" s="1"/>
  <c r="Q10" i="2"/>
  <c r="Q11" i="2"/>
  <c r="O11" i="2"/>
  <c r="D10" i="3" s="1"/>
  <c r="O12" i="2"/>
  <c r="D11" i="3" s="1"/>
  <c r="Q12" i="2"/>
  <c r="O13" i="2"/>
  <c r="D12" i="3" s="1"/>
  <c r="Q13" i="2"/>
</calcChain>
</file>

<file path=xl/sharedStrings.xml><?xml version="1.0" encoding="utf-8"?>
<sst xmlns="http://schemas.openxmlformats.org/spreadsheetml/2006/main" count="69" uniqueCount="51">
  <si>
    <t>carga_kN</t>
  </si>
  <si>
    <t>deflexion_medida_mm</t>
  </si>
  <si>
    <t>Parámetros del caso - viga simplemente apoyada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</si>
  <si>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</si>
  <si>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</si>
  <si>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</si>
  <si>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</si>
  <si>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</si>
  <si>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</si>
  <si>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</si>
  <si>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</si>
  <si>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</si>
  <si>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</si>
  <si>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</si>
  <si>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</si>
  <si>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</si>
  <si>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</si>
  <si>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Configuración</t>
  </si>
  <si>
    <t>Carga puntual centrada</t>
  </si>
  <si>
    <t>-</t>
  </si>
  <si>
    <t>Viga simplemente apoyada</t>
  </si>
  <si>
    <t>Nota</t>
  </si>
  <si>
    <t>Los datos de deflexión son sintéticos y se entregan exclusivamente con fines docentes.</t>
  </si>
  <si>
    <t>Símbolo</t>
  </si>
  <si>
    <t>Valor Original</t>
  </si>
  <si>
    <t>Unidad Original</t>
  </si>
  <si>
    <t>Factor a SI</t>
  </si>
  <si>
    <t>Valor SI</t>
  </si>
  <si>
    <t>Unidad SI</t>
  </si>
  <si>
    <t>Ancho de sección</t>
  </si>
  <si>
    <t>Altura de sección</t>
  </si>
  <si>
    <t>Módulo elasticidad</t>
  </si>
  <si>
    <t>Pa</t>
  </si>
  <si>
    <t>Parámetro Calculado</t>
  </si>
  <si>
    <t>Valor Resultante</t>
  </si>
  <si>
    <t>Inercia de la sección</t>
  </si>
  <si>
    <t>I</t>
  </si>
  <si>
    <t>m^4</t>
  </si>
  <si>
    <t>(b*h^3)/12</t>
  </si>
  <si>
    <t>Carga P (kN)</t>
  </si>
  <si>
    <t>Carga P (N)</t>
  </si>
  <si>
    <t>Deflexión Medida (mm)</t>
  </si>
  <si>
    <t>Deflexión Medida (m)</t>
  </si>
  <si>
    <t>Deflexión Teórica (m)</t>
  </si>
  <si>
    <t>Deflexión Teórica (mm)</t>
  </si>
  <si>
    <t>Diferencia Relativa (%)</t>
  </si>
  <si>
    <t>Verificación δ/P (mm/kN)</t>
  </si>
  <si>
    <t>Ecuación utilizada</t>
  </si>
  <si>
    <t>Predicción teórica</t>
  </si>
  <si>
    <t>Datos medidos</t>
  </si>
  <si>
    <t>Diferencia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</si>
</sst>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9" xfId="0" applyNumberFormat="1" applyBorder="1"/>
    <xf numFmtId="10" fontId="0" fillId="0" borderId="8" xfId="0" applyNumberFormat="1" applyBorder="1"/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carga_deflexion!$C$3</c:f>
              <c:strCache>
                <c:ptCount val="1"/>
                <c:pt idx="0">
                  <c:v>Datos medidos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carga_deflexion!$B$4:$B$12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carga_deflexion!$C$4:$C$12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DB-4A11-8432-40162DE95536}"/>
            </c:ext>
          </c:extLst>
        </c:ser>
        <c:ser>
          <c:idx val="1"/>
          <c:order val="1"/>
          <c:tx>
            <c:strRef>
              <c:f>carga_deflexion!$D$3</c:f>
              <c:strCache>
                <c:ptCount val="1"/>
                <c:pt idx="0">
                  <c:v>Predicción teórica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carga_deflexion!$B$4:$B$12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carga_deflexion!$D$4:$D$12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DB-4A11-8432-40162DE95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683488"/>
        <c:axId val="1943227376"/>
      </c:scatterChart>
      <c:valAx>
        <c:axId val="192368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43227376"/>
        <c:crosses val="autoZero"/>
        <c:crossBetween val="midCat"/>
      </c:valAx>
      <c:valAx>
        <c:axId val="19432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Deflexión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368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6</xdr:row>
      <xdr:rowOff>26670</xdr:rowOff>
    </xdr:from>
    <xdr:to>
      <xdr:col>9</xdr:col>
      <xdr:colOff>716280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B101A5-BAB9-C420-F5B6-D26C2FD9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"/>
  <sheetViews>
    <sheetView workbookViewId="0">
      <selection activeCell="B2" sqref="B2:C11"/>
    </sheetView>
  </sheetViews>
  <sheetFormatPr baseColWidth="10" defaultColWidth="8.88671875" defaultRowHeight="14.4" x14ac:dyDescent="0.3"/>
  <cols>
    <col min="2" max="2" width="10.44140625" customWidth="1"/>
    <col min="3" max="3" width="20.77734375" customWidth="1"/>
    <col min="5" max="5" width="13.33203125" customWidth="1"/>
    <col min="6" max="6" width="21.21875" customWidth="1"/>
    <col min="8" max="8" width="32.77734375" customWidth="1"/>
  </cols>
  <sheetData>
    <row r="1" spans="2:9" ht="15" thickBot="1" x14ac:dyDescent="0.35"/>
    <row r="2" spans="2:9" ht="16.2" thickBot="1" x14ac:dyDescent="0.35">
      <c r="B2" s="16" t="s">
        <v>0</v>
      </c>
      <c r="C2" s="18" t="s">
        <v>1</v>
      </c>
      <c r="E2" s="21" t="s">
        <v>2</v>
      </c>
    </row>
    <row r="3" spans="2:9" ht="15" thickBot="1" x14ac:dyDescent="0.35">
      <c r="B3" s="7">
        <v>0</v>
      </c>
      <c r="C3" s="8">
        <v>0</v>
      </c>
    </row>
    <row r="4" spans="2:9" ht="15" thickBot="1" x14ac:dyDescent="0.35">
      <c r="B4" s="7">
        <v>5</v>
      </c>
      <c r="C4" s="8">
        <v>0.26</v>
      </c>
      <c r="E4" s="16" t="s">
        <v>3</v>
      </c>
      <c r="F4" s="17" t="s">
        <v>4</v>
      </c>
      <c r="G4" s="17" t="s">
        <v>5</v>
      </c>
      <c r="H4" s="18" t="s">
        <v>6</v>
      </c>
    </row>
    <row r="5" spans="2:9" x14ac:dyDescent="0.3">
      <c r="B5" s="7">
        <v>10</v>
      </c>
      <c r="C5" s="8">
        <v>0.5</v>
      </c>
      <c r="E5" s="7" t="s">
        <v>7</v>
      </c>
      <c r="F5" s="19">
        <v>4</v>
      </c>
      <c r="G5" s="19" t="s">
        <v>8</v>
      </c>
      <c r="H5" s="8" t="s">
        <v>9</v>
      </c>
    </row>
    <row r="6" spans="2:9" x14ac:dyDescent="0.3">
      <c r="B6" s="7">
        <v>15</v>
      </c>
      <c r="C6" s="8">
        <v>0.76</v>
      </c>
      <c r="E6" s="7" t="s">
        <v>10</v>
      </c>
      <c r="F6" s="19">
        <v>0.2</v>
      </c>
      <c r="G6" s="19" t="s">
        <v>8</v>
      </c>
      <c r="H6" s="8" t="s">
        <v>11</v>
      </c>
    </row>
    <row r="7" spans="2:9" x14ac:dyDescent="0.3">
      <c r="B7" s="7">
        <v>20</v>
      </c>
      <c r="C7" s="8">
        <v>1.01</v>
      </c>
      <c r="E7" s="7" t="s">
        <v>12</v>
      </c>
      <c r="F7" s="19">
        <v>0.4</v>
      </c>
      <c r="G7" s="19" t="s">
        <v>8</v>
      </c>
      <c r="H7" s="8" t="s">
        <v>13</v>
      </c>
    </row>
    <row r="8" spans="2:9" x14ac:dyDescent="0.3">
      <c r="B8" s="7">
        <v>25</v>
      </c>
      <c r="C8" s="8">
        <v>1.28</v>
      </c>
      <c r="E8" s="7" t="s">
        <v>14</v>
      </c>
      <c r="F8" s="19">
        <v>25</v>
      </c>
      <c r="G8" s="19" t="s">
        <v>15</v>
      </c>
      <c r="H8" s="8" t="s">
        <v>16</v>
      </c>
    </row>
    <row r="9" spans="2:9" ht="15" thickBot="1" x14ac:dyDescent="0.35">
      <c r="B9" s="7">
        <v>30</v>
      </c>
      <c r="C9" s="8">
        <v>1.54</v>
      </c>
      <c r="E9" s="9" t="s">
        <v>17</v>
      </c>
      <c r="F9" s="20" t="s">
        <v>18</v>
      </c>
      <c r="G9" s="20" t="s">
        <v>19</v>
      </c>
      <c r="H9" s="10" t="s">
        <v>20</v>
      </c>
    </row>
    <row r="10" spans="2:9" x14ac:dyDescent="0.3">
      <c r="B10" s="7">
        <v>35</v>
      </c>
      <c r="C10" s="8">
        <v>1.77</v>
      </c>
    </row>
    <row r="11" spans="2:9" ht="15" thickBot="1" x14ac:dyDescent="0.35">
      <c r="B11" s="9">
        <v>40</v>
      </c>
      <c r="C11" s="10">
        <v>2.0499999999999998</v>
      </c>
    </row>
    <row r="12" spans="2:9" ht="15" thickBot="1" x14ac:dyDescent="0.35">
      <c r="E12" s="13" t="s">
        <v>21</v>
      </c>
      <c r="F12" s="14" t="s">
        <v>22</v>
      </c>
      <c r="G12" s="14"/>
      <c r="H12" s="14"/>
      <c r="I1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C831-4510-44AA-B313-BFC3FA8740B5}">
  <dimension ref="B3:R13"/>
  <sheetViews>
    <sheetView tabSelected="1" topLeftCell="I1" zoomScale="97" zoomScaleNormal="78" workbookViewId="0">
      <selection activeCell="N20" sqref="N20"/>
    </sheetView>
  </sheetViews>
  <sheetFormatPr baseColWidth="10" defaultRowHeight="14.4" x14ac:dyDescent="0.3"/>
  <cols>
    <col min="2" max="2" width="23" customWidth="1"/>
    <col min="4" max="4" width="18.6640625" customWidth="1"/>
    <col min="5" max="5" width="18.44140625" customWidth="1"/>
    <col min="6" max="6" width="18.33203125" customWidth="1"/>
    <col min="7" max="7" width="16.44140625" customWidth="1"/>
    <col min="10" max="10" width="15.21875" customWidth="1"/>
    <col min="11" max="11" width="13.6640625" customWidth="1"/>
    <col min="12" max="12" width="24.33203125" customWidth="1"/>
    <col min="13" max="13" width="23" customWidth="1"/>
    <col min="14" max="14" width="21.88671875" customWidth="1"/>
    <col min="15" max="16" width="24.6640625" customWidth="1"/>
    <col min="17" max="17" width="19.5546875" customWidth="1"/>
    <col min="18" max="18" width="23.88671875" customWidth="1"/>
  </cols>
  <sheetData>
    <row r="3" spans="2:18" ht="15" thickBot="1" x14ac:dyDescent="0.35"/>
    <row r="4" spans="2:18" ht="15" thickBot="1" x14ac:dyDescent="0.35">
      <c r="B4" s="28" t="s">
        <v>3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5" t="s">
        <v>28</v>
      </c>
      <c r="J4" s="13" t="s">
        <v>39</v>
      </c>
      <c r="K4" s="14" t="s">
        <v>40</v>
      </c>
      <c r="L4" s="14" t="s">
        <v>41</v>
      </c>
      <c r="M4" s="14" t="s">
        <v>42</v>
      </c>
      <c r="N4" s="14" t="s">
        <v>43</v>
      </c>
      <c r="O4" s="14" t="s">
        <v>44</v>
      </c>
      <c r="P4" s="29" t="s">
        <v>50</v>
      </c>
      <c r="Q4" s="14" t="s">
        <v>45</v>
      </c>
      <c r="R4" s="15" t="s">
        <v>46</v>
      </c>
    </row>
    <row r="5" spans="2:18" x14ac:dyDescent="0.3">
      <c r="B5" s="26" t="s">
        <v>9</v>
      </c>
      <c r="C5" t="s">
        <v>7</v>
      </c>
      <c r="D5" s="22">
        <v>4</v>
      </c>
      <c r="E5" s="22" t="s">
        <v>8</v>
      </c>
      <c r="F5" s="22">
        <v>1</v>
      </c>
      <c r="G5" s="22">
        <v>4</v>
      </c>
      <c r="H5" s="4" t="s">
        <v>8</v>
      </c>
      <c r="J5" s="1">
        <v>0</v>
      </c>
      <c r="K5" s="11">
        <f>1000*Datos_Originales!B3</f>
        <v>0</v>
      </c>
      <c r="L5" s="11">
        <f>Datos_Originales!C3</f>
        <v>0</v>
      </c>
      <c r="M5" s="11">
        <f>L5/1000</f>
        <v>0</v>
      </c>
      <c r="N5" s="11">
        <f>((K5*$G$5^3)/(48*$G$8*$E$12))</f>
        <v>0</v>
      </c>
      <c r="O5" s="11">
        <f>N5*1000</f>
        <v>0</v>
      </c>
      <c r="P5" s="38">
        <f>ROUND(ABS(L5-O5), 6)</f>
        <v>0</v>
      </c>
      <c r="Q5" s="33">
        <v>0</v>
      </c>
      <c r="R5" s="2">
        <v>0</v>
      </c>
    </row>
    <row r="6" spans="2:18" x14ac:dyDescent="0.3">
      <c r="B6" s="26" t="s">
        <v>29</v>
      </c>
      <c r="C6" t="s">
        <v>10</v>
      </c>
      <c r="D6" s="22">
        <v>0.2</v>
      </c>
      <c r="E6" s="22" t="s">
        <v>8</v>
      </c>
      <c r="F6" s="22">
        <v>1</v>
      </c>
      <c r="G6" s="22">
        <v>0.2</v>
      </c>
      <c r="H6" s="4" t="s">
        <v>8</v>
      </c>
      <c r="J6" s="3">
        <v>5</v>
      </c>
      <c r="K6" s="38">
        <f>1000*Datos_Originales!B4</f>
        <v>5000</v>
      </c>
      <c r="L6" s="38">
        <f>Datos_Originales!C4</f>
        <v>0.26</v>
      </c>
      <c r="M6" s="38">
        <f t="shared" ref="M6:M12" si="0">L6/1000</f>
        <v>2.6000000000000003E-4</v>
      </c>
      <c r="N6" s="38">
        <f t="shared" ref="N6:N13" si="1">((K6*$G$5^3)/(48*$G$8*$E$12))</f>
        <v>2.4999999999999995E-4</v>
      </c>
      <c r="O6" s="38">
        <f t="shared" ref="O6:O13" si="2">N6*1000</f>
        <v>0.24999999999999994</v>
      </c>
      <c r="P6" s="38">
        <f t="shared" ref="P6:P13" si="3">ROUND(ABS(L6-O6), 6)</f>
        <v>0.01</v>
      </c>
      <c r="Q6" s="39">
        <f>(M6-N6)/N6</f>
        <v>4.0000000000000327E-2</v>
      </c>
      <c r="R6" s="4">
        <f>L6/(K6/1000)</f>
        <v>5.2000000000000005E-2</v>
      </c>
    </row>
    <row r="7" spans="2:18" x14ac:dyDescent="0.3">
      <c r="B7" s="26" t="s">
        <v>30</v>
      </c>
      <c r="C7" t="s">
        <v>12</v>
      </c>
      <c r="D7" s="22">
        <v>0.4</v>
      </c>
      <c r="E7" s="22" t="s">
        <v>8</v>
      </c>
      <c r="F7" s="22">
        <v>1</v>
      </c>
      <c r="G7" s="22">
        <v>0.4</v>
      </c>
      <c r="H7" s="4" t="s">
        <v>8</v>
      </c>
      <c r="J7" s="3">
        <v>10</v>
      </c>
      <c r="K7" s="38">
        <f>1000*Datos_Originales!B5</f>
        <v>10000</v>
      </c>
      <c r="L7" s="38">
        <f>Datos_Originales!C5</f>
        <v>0.5</v>
      </c>
      <c r="M7" s="38">
        <f t="shared" si="0"/>
        <v>5.0000000000000001E-4</v>
      </c>
      <c r="N7" s="38">
        <f t="shared" si="1"/>
        <v>4.999999999999999E-4</v>
      </c>
      <c r="O7" s="38">
        <f t="shared" si="2"/>
        <v>0.49999999999999989</v>
      </c>
      <c r="P7" s="38">
        <f t="shared" si="3"/>
        <v>0</v>
      </c>
      <c r="Q7" s="39">
        <f t="shared" ref="Q7:Q13" si="4">(M7-N7)/N7</f>
        <v>2.1684043449710094E-16</v>
      </c>
      <c r="R7" s="4">
        <f t="shared" ref="R7:R13" si="5">L7/(K7/1000)</f>
        <v>0.05</v>
      </c>
    </row>
    <row r="8" spans="2:18" ht="15" thickBot="1" x14ac:dyDescent="0.35">
      <c r="B8" s="27" t="s">
        <v>31</v>
      </c>
      <c r="C8" s="12" t="s">
        <v>14</v>
      </c>
      <c r="D8" s="23">
        <v>25</v>
      </c>
      <c r="E8" s="23" t="s">
        <v>15</v>
      </c>
      <c r="F8" s="24">
        <v>1000000000</v>
      </c>
      <c r="G8" s="23">
        <v>25000000000</v>
      </c>
      <c r="H8" s="6" t="s">
        <v>32</v>
      </c>
      <c r="J8" s="3">
        <v>15</v>
      </c>
      <c r="K8" s="38">
        <f>1000*Datos_Originales!B6</f>
        <v>15000</v>
      </c>
      <c r="L8" s="38">
        <f>Datos_Originales!C6</f>
        <v>0.76</v>
      </c>
      <c r="M8" s="38">
        <f t="shared" si="0"/>
        <v>7.6000000000000004E-4</v>
      </c>
      <c r="N8" s="38">
        <f t="shared" si="1"/>
        <v>7.4999999999999991E-4</v>
      </c>
      <c r="O8" s="38">
        <f t="shared" si="2"/>
        <v>0.74999999999999989</v>
      </c>
      <c r="P8" s="38">
        <f t="shared" si="3"/>
        <v>0.01</v>
      </c>
      <c r="Q8" s="39">
        <f t="shared" si="4"/>
        <v>1.3333333333333515E-2</v>
      </c>
      <c r="R8" s="4">
        <f t="shared" si="5"/>
        <v>5.0666666666666665E-2</v>
      </c>
    </row>
    <row r="9" spans="2:18" x14ac:dyDescent="0.3">
      <c r="J9" s="3">
        <v>20</v>
      </c>
      <c r="K9" s="38">
        <f>1000*Datos_Originales!B7</f>
        <v>20000</v>
      </c>
      <c r="L9" s="38">
        <f>Datos_Originales!C7</f>
        <v>1.01</v>
      </c>
      <c r="M9" s="38">
        <f t="shared" si="0"/>
        <v>1.01E-3</v>
      </c>
      <c r="N9" s="38">
        <f t="shared" si="1"/>
        <v>9.999999999999998E-4</v>
      </c>
      <c r="O9" s="38">
        <f t="shared" si="2"/>
        <v>0.99999999999999978</v>
      </c>
      <c r="P9" s="38">
        <f t="shared" si="3"/>
        <v>0.01</v>
      </c>
      <c r="Q9" s="39">
        <f t="shared" si="4"/>
        <v>1.0000000000000245E-2</v>
      </c>
      <c r="R9" s="4">
        <f t="shared" si="5"/>
        <v>5.0500000000000003E-2</v>
      </c>
    </row>
    <row r="10" spans="2:18" ht="15" thickBot="1" x14ac:dyDescent="0.35">
      <c r="J10" s="3">
        <v>25</v>
      </c>
      <c r="K10" s="38">
        <f>1000*Datos_Originales!B8</f>
        <v>25000</v>
      </c>
      <c r="L10" s="38">
        <f>Datos_Originales!C8</f>
        <v>1.28</v>
      </c>
      <c r="M10" s="38">
        <f t="shared" si="0"/>
        <v>1.2800000000000001E-3</v>
      </c>
      <c r="N10" s="38">
        <f t="shared" si="1"/>
        <v>1.2499999999999998E-3</v>
      </c>
      <c r="O10" s="38">
        <f t="shared" si="2"/>
        <v>1.2499999999999998</v>
      </c>
      <c r="P10" s="38">
        <f t="shared" si="3"/>
        <v>0.03</v>
      </c>
      <c r="Q10" s="39">
        <f t="shared" si="4"/>
        <v>2.400000000000024E-2</v>
      </c>
      <c r="R10" s="4">
        <f t="shared" si="5"/>
        <v>5.1200000000000002E-2</v>
      </c>
    </row>
    <row r="11" spans="2:18" ht="15" thickBot="1" x14ac:dyDescent="0.35">
      <c r="B11" s="25" t="s">
        <v>33</v>
      </c>
      <c r="C11" s="11" t="s">
        <v>23</v>
      </c>
      <c r="D11" s="11" t="s">
        <v>47</v>
      </c>
      <c r="E11" s="11" t="s">
        <v>34</v>
      </c>
      <c r="F11" s="2" t="s">
        <v>5</v>
      </c>
      <c r="J11" s="3">
        <v>30</v>
      </c>
      <c r="K11" s="38">
        <f>1000*Datos_Originales!B9</f>
        <v>30000</v>
      </c>
      <c r="L11" s="38">
        <f>Datos_Originales!C9</f>
        <v>1.54</v>
      </c>
      <c r="M11" s="38">
        <f t="shared" si="0"/>
        <v>1.5400000000000001E-3</v>
      </c>
      <c r="N11" s="38">
        <f t="shared" si="1"/>
        <v>1.4999999999999998E-3</v>
      </c>
      <c r="O11" s="38">
        <f t="shared" si="2"/>
        <v>1.4999999999999998</v>
      </c>
      <c r="P11" s="38">
        <f t="shared" si="3"/>
        <v>0.04</v>
      </c>
      <c r="Q11" s="39">
        <f>(M11-N11)/N11</f>
        <v>2.6666666666666883E-2</v>
      </c>
      <c r="R11" s="4">
        <f t="shared" si="5"/>
        <v>5.1333333333333335E-2</v>
      </c>
    </row>
    <row r="12" spans="2:18" ht="15" thickBot="1" x14ac:dyDescent="0.35">
      <c r="B12" s="28" t="s">
        <v>35</v>
      </c>
      <c r="C12" s="29" t="s">
        <v>36</v>
      </c>
      <c r="D12" s="30" t="s">
        <v>38</v>
      </c>
      <c r="E12" s="29">
        <f>(G6*((G7)^3))/12</f>
        <v>1.0666666666666669E-3</v>
      </c>
      <c r="F12" s="31" t="s">
        <v>37</v>
      </c>
      <c r="J12" s="3">
        <v>35</v>
      </c>
      <c r="K12" s="38">
        <f>1000*Datos_Originales!B10</f>
        <v>35000</v>
      </c>
      <c r="L12" s="38">
        <f>Datos_Originales!C10</f>
        <v>1.77</v>
      </c>
      <c r="M12" s="38">
        <f t="shared" si="0"/>
        <v>1.7700000000000001E-3</v>
      </c>
      <c r="N12" s="38">
        <f t="shared" si="1"/>
        <v>1.7499999999999996E-3</v>
      </c>
      <c r="O12" s="38">
        <f t="shared" si="2"/>
        <v>1.7499999999999996</v>
      </c>
      <c r="P12" s="38">
        <f t="shared" si="3"/>
        <v>0.02</v>
      </c>
      <c r="Q12" s="39">
        <f t="shared" si="4"/>
        <v>1.142857142857171E-2</v>
      </c>
      <c r="R12" s="4">
        <f t="shared" si="5"/>
        <v>5.0571428571428573E-2</v>
      </c>
    </row>
    <row r="13" spans="2:18" ht="15" thickBot="1" x14ac:dyDescent="0.35">
      <c r="J13" s="5">
        <v>40</v>
      </c>
      <c r="K13" s="12">
        <f>1000*Datos_Originales!B11</f>
        <v>40000</v>
      </c>
      <c r="L13" s="12">
        <f>Datos_Originales!C11</f>
        <v>2.0499999999999998</v>
      </c>
      <c r="M13" s="12">
        <f>L13/1000</f>
        <v>2.0499999999999997E-3</v>
      </c>
      <c r="N13" s="12">
        <f t="shared" si="1"/>
        <v>1.9999999999999996E-3</v>
      </c>
      <c r="O13" s="12">
        <f t="shared" si="2"/>
        <v>1.9999999999999996</v>
      </c>
      <c r="P13" s="12">
        <f t="shared" si="3"/>
        <v>0.05</v>
      </c>
      <c r="Q13" s="32">
        <f t="shared" si="4"/>
        <v>2.5000000000000071E-2</v>
      </c>
      <c r="R13" s="6">
        <f t="shared" si="5"/>
        <v>5.1249999999999997E-2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629B-2D3B-4CA0-9D31-CB6D26DA1847}">
  <dimension ref="B2:D12"/>
  <sheetViews>
    <sheetView workbookViewId="0">
      <selection activeCell="B18" sqref="B18"/>
    </sheetView>
  </sheetViews>
  <sheetFormatPr baseColWidth="10" defaultRowHeight="14.4" x14ac:dyDescent="0.3"/>
  <cols>
    <col min="3" max="3" width="21.77734375" customWidth="1"/>
    <col min="4" max="4" width="23.5546875" customWidth="1"/>
  </cols>
  <sheetData>
    <row r="2" spans="2:4" ht="15" thickBot="1" x14ac:dyDescent="0.35"/>
    <row r="3" spans="2:4" ht="15" thickBot="1" x14ac:dyDescent="0.35">
      <c r="B3" s="16" t="s">
        <v>0</v>
      </c>
      <c r="C3" s="17" t="s">
        <v>49</v>
      </c>
      <c r="D3" s="18" t="s">
        <v>48</v>
      </c>
    </row>
    <row r="4" spans="2:4" x14ac:dyDescent="0.3">
      <c r="B4" s="34">
        <v>0</v>
      </c>
      <c r="C4" s="35">
        <f>Datos_Originales!C3</f>
        <v>0</v>
      </c>
      <c r="D4" s="36">
        <f>Calculos!O5</f>
        <v>0</v>
      </c>
    </row>
    <row r="5" spans="2:4" x14ac:dyDescent="0.3">
      <c r="B5" s="7">
        <v>5</v>
      </c>
      <c r="C5" s="37">
        <f>Datos_Originales!C4</f>
        <v>0.26</v>
      </c>
      <c r="D5" s="8">
        <f>Calculos!O6</f>
        <v>0.24999999999999994</v>
      </c>
    </row>
    <row r="6" spans="2:4" x14ac:dyDescent="0.3">
      <c r="B6" s="7">
        <v>10</v>
      </c>
      <c r="C6" s="37">
        <f>Datos_Originales!C5</f>
        <v>0.5</v>
      </c>
      <c r="D6" s="8">
        <f>Calculos!O7</f>
        <v>0.49999999999999989</v>
      </c>
    </row>
    <row r="7" spans="2:4" x14ac:dyDescent="0.3">
      <c r="B7" s="7">
        <v>15</v>
      </c>
      <c r="C7" s="37">
        <f>Datos_Originales!C6</f>
        <v>0.76</v>
      </c>
      <c r="D7" s="8">
        <f>Calculos!O8</f>
        <v>0.74999999999999989</v>
      </c>
    </row>
    <row r="8" spans="2:4" x14ac:dyDescent="0.3">
      <c r="B8" s="7">
        <v>20</v>
      </c>
      <c r="C8" s="37">
        <f>Datos_Originales!C7</f>
        <v>1.01</v>
      </c>
      <c r="D8" s="8">
        <f>Calculos!O9</f>
        <v>0.99999999999999978</v>
      </c>
    </row>
    <row r="9" spans="2:4" x14ac:dyDescent="0.3">
      <c r="B9" s="7">
        <v>25</v>
      </c>
      <c r="C9" s="37">
        <f>Datos_Originales!C8</f>
        <v>1.28</v>
      </c>
      <c r="D9" s="8">
        <f>Calculos!O10</f>
        <v>1.2499999999999998</v>
      </c>
    </row>
    <row r="10" spans="2:4" x14ac:dyDescent="0.3">
      <c r="B10" s="7">
        <v>30</v>
      </c>
      <c r="C10" s="37">
        <f>Datos_Originales!C9</f>
        <v>1.54</v>
      </c>
      <c r="D10" s="8">
        <f>Calculos!O11</f>
        <v>1.4999999999999998</v>
      </c>
    </row>
    <row r="11" spans="2:4" x14ac:dyDescent="0.3">
      <c r="B11" s="7">
        <v>35</v>
      </c>
      <c r="C11" s="37">
        <f>Datos_Originales!C10</f>
        <v>1.77</v>
      </c>
      <c r="D11" s="8">
        <f>Calculos!O12</f>
        <v>1.7499999999999996</v>
      </c>
    </row>
    <row r="12" spans="2:4" ht="15" thickBot="1" x14ac:dyDescent="0.35">
      <c r="B12" s="9">
        <v>40</v>
      </c>
      <c r="C12" s="20">
        <f>Datos_Originales!C11</f>
        <v>2.0499999999999998</v>
      </c>
      <c r="D12" s="10">
        <f>Calculos!O13</f>
        <v>1.9999999999999996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Datos_Originales</vt:lpstr>
      <vt:lpstr>Calculos</vt:lpstr>
      <vt:lpstr>carga_deflexion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 Ormazábal</dc:creator>
  <cp:lastModifiedBy>Violeta Ormazábal</cp:lastModifiedBy>
  <dcterms:created xsi:type="dcterms:W3CDTF">2015-06-05T18:17:20Z</dcterms:created>
  <dcterms:modified xsi:type="dcterms:W3CDTF">2026-10-05T23:00:16Z</dcterms:modified>
</cp:coreProperties>
</file>